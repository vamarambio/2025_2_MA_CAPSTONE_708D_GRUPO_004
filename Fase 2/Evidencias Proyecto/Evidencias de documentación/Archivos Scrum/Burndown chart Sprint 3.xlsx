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A408BF-0F1D-4F78-9B7A-0D73C16220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jVTng0a0gjz8j+I631YXc6s57+VTInM2oO6ZoT5jLM="/>
    </ext>
  </extLst>
</workbook>
</file>

<file path=xl/calcChain.xml><?xml version="1.0" encoding="utf-8"?>
<calcChain xmlns="http://schemas.openxmlformats.org/spreadsheetml/2006/main">
  <c r="C19" i="1" l="1"/>
  <c r="C17" i="1"/>
  <c r="G17" i="1"/>
  <c r="C20" i="1"/>
  <c r="B21" i="1" s="1"/>
  <c r="B20" i="1"/>
  <c r="B18" i="1"/>
  <c r="C18" i="1" s="1"/>
  <c r="Q17" i="1"/>
  <c r="P17" i="1"/>
  <c r="O17" i="1"/>
  <c r="N17" i="1"/>
  <c r="M17" i="1"/>
  <c r="L17" i="1"/>
  <c r="K17" i="1"/>
  <c r="J17" i="1"/>
  <c r="I17" i="1"/>
  <c r="H17" i="1"/>
  <c r="F17" i="1"/>
  <c r="E17" i="1"/>
  <c r="D17" i="1"/>
  <c r="R16" i="1"/>
  <c r="R15" i="1"/>
  <c r="R14" i="1"/>
  <c r="R13" i="1"/>
  <c r="R12" i="1"/>
  <c r="R11" i="1"/>
  <c r="R10" i="1"/>
  <c r="R9" i="1"/>
  <c r="R8" i="1"/>
  <c r="R7" i="1"/>
  <c r="R6" i="1"/>
  <c r="R5" i="1"/>
  <c r="C21" i="1" l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17" i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B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</calcChain>
</file>

<file path=xl/sharedStrings.xml><?xml version="1.0" encoding="utf-8"?>
<sst xmlns="http://schemas.openxmlformats.org/spreadsheetml/2006/main" count="19" uniqueCount="19">
  <si>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</si>
  <si>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</si>
  <si>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</si>
  <si>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</si>
  <si>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</si>
  <si>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</si>
  <si>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</si>
  <si>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</si>
  <si>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</si>
  <si>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</si>
  <si>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</si>
  <si>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</si>
  <si>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</si>
  <si>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</si>
  <si>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</si>
  <si>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T-62</t>
  </si>
  <si>
    <t>T-63</t>
  </si>
  <si>
    <t>T-64</t>
  </si>
  <si>
    <t>Control del Sprint 3 de 15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</si>
</sst>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6" xfId="0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 wrapText="1"/>
    </xf>
    <xf numFmtId="0" fontId="2" fillId="0" borderId="6" xfId="0" applyFont="1" applyBorder="1"/>
    <xf numFmtId="0" fontId="2" fillId="3" borderId="5" xfId="0" applyFont="1" applyFill="1" applyBorder="1" applyAlignment="1">
      <alignment horizontal="center" wrapText="1"/>
    </xf>
    <xf numFmtId="0" fontId="4" fillId="0" borderId="6" xfId="0" applyFont="1" applyBorder="1"/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Sprint3!$C$5:$Q$5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158-BE0B-87094513ADFF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Sprint3!$C$6:$Q$6</c:f>
              <c:numCache>
                <c:formatCode>General</c:formatCode>
                <c:ptCount val="15"/>
                <c:pt idx="0">
                  <c:v>2</c:v>
                </c:pt>
                <c:pt idx="2">
                  <c:v>4</c:v>
                </c:pt>
                <c:pt idx="5">
                  <c:v>4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158-BE0B-87094513ADFF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Sprint3!$C$7:$Q$7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2-4158-BE0B-87094513ADFF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Sprint3!$C$8:$Q$8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4">
                  <c:v>2</c:v>
                </c:pt>
                <c:pt idx="5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2-4158-BE0B-87094513ADFF}"/>
            </c:ext>
          </c:extLst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Sprint3!$C$9:$Q$9</c:f>
              <c:numCache>
                <c:formatCode>General</c:formatCode>
                <c:ptCount val="15"/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B2-4158-BE0B-87094513ADFF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Sprint3!$D$18:$R$18</c:f>
              <c:numCache>
                <c:formatCode>General</c:formatCode>
                <c:ptCount val="15"/>
                <c:pt idx="0">
                  <c:v>110</c:v>
                </c:pt>
                <c:pt idx="1">
                  <c:v>104</c:v>
                </c:pt>
                <c:pt idx="2">
                  <c:v>94</c:v>
                </c:pt>
                <c:pt idx="3">
                  <c:v>90</c:v>
                </c:pt>
                <c:pt idx="4">
                  <c:v>78</c:v>
                </c:pt>
                <c:pt idx="5">
                  <c:v>52</c:v>
                </c:pt>
                <c:pt idx="6">
                  <c:v>46</c:v>
                </c:pt>
                <c:pt idx="7">
                  <c:v>36</c:v>
                </c:pt>
                <c:pt idx="8">
                  <c:v>31</c:v>
                </c:pt>
                <c:pt idx="9">
                  <c:v>26</c:v>
                </c:pt>
                <c:pt idx="10">
                  <c:v>24</c:v>
                </c:pt>
                <c:pt idx="11">
                  <c:v>19</c:v>
                </c:pt>
                <c:pt idx="12">
                  <c:v>16</c:v>
                </c:pt>
                <c:pt idx="1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B2-4158-BE0B-87094513ADFF}"/>
            </c:ext>
          </c:extLst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Sprint3!$C$4:$Q$4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Sprint3!$D$20:$R$20</c:f>
              <c:numCache>
                <c:formatCode>General</c:formatCode>
                <c:ptCount val="15"/>
                <c:pt idx="0">
                  <c:v>114</c:v>
                </c:pt>
                <c:pt idx="1">
                  <c:v>108</c:v>
                </c:pt>
                <c:pt idx="2">
                  <c:v>102</c:v>
                </c:pt>
                <c:pt idx="3">
                  <c:v>96</c:v>
                </c:pt>
                <c:pt idx="4">
                  <c:v>90</c:v>
                </c:pt>
                <c:pt idx="5">
                  <c:v>84</c:v>
                </c:pt>
                <c:pt idx="6">
                  <c:v>78</c:v>
                </c:pt>
                <c:pt idx="7">
                  <c:v>72</c:v>
                </c:pt>
                <c:pt idx="8">
                  <c:v>66</c:v>
                </c:pt>
                <c:pt idx="9">
                  <c:v>60</c:v>
                </c:pt>
                <c:pt idx="10">
                  <c:v>54</c:v>
                </c:pt>
                <c:pt idx="11">
                  <c:v>48</c:v>
                </c:pt>
                <c:pt idx="12">
                  <c:v>42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B2-4158-BE0B-87094513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134061"/>
        <c:axId val="374052861"/>
      </c:lineChart>
      <c:catAx>
        <c:axId val="1820134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74052861"/>
        <c:crosses val="autoZero"/>
        <c:auto val="1"/>
        <c:lblAlgn val="ctr"/>
        <c:lblOffset val="100"/>
        <c:noMultiLvlLbl val="1"/>
      </c:catAx>
      <c:valAx>
        <c:axId val="374052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201340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209550</xdr:colOff>
      <xdr:row>3</xdr:row>
      <xdr:rowOff>95250</xdr:rowOff>
    </xdr:from>
    <xdr:ext cx="3524250" cy="5467350"/>
    <xdr:graphicFrame macro="">
      <xdr:nvGraphicFramePr>
        <xdr:cNvPr id="48008533" name="Chart 1" title="Gráfico">
          <a:extLst>
            <a:ext uri="{FF2B5EF4-FFF2-40B4-BE49-F238E27FC236}">
              <a16:creationId xmlns:a16="http://schemas.microsoft.com/office/drawing/2014/main" id="{00000000-0008-0000-0000-0000558DD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2"/>
  <sheetViews>
    <sheetView tabSelected="1" zoomScale="85" zoomScaleNormal="85" workbookViewId="0">
      <selection activeCell="G30" sqref="G30"/>
    </sheetView>
  </sheetViews>
  <sheetFormatPr baseColWidth="10" defaultColWidth="14.44140625" defaultRowHeight="15" customHeight="1" x14ac:dyDescent="0.3"/>
  <cols>
    <col min="1" max="1" width="30.5546875" customWidth="1"/>
    <col min="2" max="2" width="17" customWidth="1"/>
    <col min="3" max="17" width="8.109375" customWidth="1"/>
    <col min="18" max="23" width="10.6640625" customWidth="1"/>
    <col min="24" max="24" width="56.33203125" customWidth="1"/>
  </cols>
  <sheetData>
    <row r="1" spans="1:18" ht="18" customHeight="1" x14ac:dyDescent="0.4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.25" customHeight="1" x14ac:dyDescent="0.3">
      <c r="A3" s="11" t="s">
        <v>0</v>
      </c>
      <c r="B3" s="11" t="s">
        <v>1</v>
      </c>
      <c r="C3" s="13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1" t="s">
        <v>3</v>
      </c>
    </row>
    <row r="4" spans="1:18" ht="14.25" customHeight="1" x14ac:dyDescent="0.3">
      <c r="A4" s="12"/>
      <c r="B4" s="12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12"/>
    </row>
    <row r="5" spans="1:18" ht="14.25" customHeight="1" x14ac:dyDescent="0.3">
      <c r="A5" s="4" t="s">
        <v>6</v>
      </c>
      <c r="B5" s="5">
        <v>16</v>
      </c>
      <c r="C5" s="4">
        <v>2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2</v>
      </c>
      <c r="J5" s="4">
        <v>2</v>
      </c>
      <c r="K5" s="4"/>
      <c r="L5" s="4"/>
      <c r="M5" s="4"/>
      <c r="N5" s="4"/>
      <c r="O5" s="4"/>
      <c r="P5" s="4"/>
      <c r="Q5" s="4"/>
      <c r="R5" s="6">
        <f t="shared" ref="R5:R16" si="0">SUM(C5:Q5)</f>
        <v>16</v>
      </c>
    </row>
    <row r="6" spans="1:18" ht="14.25" customHeight="1" x14ac:dyDescent="0.3">
      <c r="A6" s="4" t="s">
        <v>7</v>
      </c>
      <c r="B6" s="7">
        <v>12</v>
      </c>
      <c r="C6" s="4">
        <v>2</v>
      </c>
      <c r="D6" s="4"/>
      <c r="E6" s="4">
        <v>4</v>
      </c>
      <c r="F6" s="4"/>
      <c r="G6" s="4"/>
      <c r="H6" s="4">
        <v>4</v>
      </c>
      <c r="I6" s="4"/>
      <c r="J6" s="4">
        <v>2</v>
      </c>
      <c r="K6" s="4"/>
      <c r="L6" s="4"/>
      <c r="M6" s="4"/>
      <c r="N6" s="4"/>
      <c r="O6" s="4"/>
      <c r="P6" s="4"/>
      <c r="Q6" s="4"/>
      <c r="R6" s="6">
        <f t="shared" si="0"/>
        <v>12</v>
      </c>
    </row>
    <row r="7" spans="1:18" ht="14.25" customHeight="1" x14ac:dyDescent="0.3">
      <c r="A7" s="4" t="s">
        <v>8</v>
      </c>
      <c r="B7" s="7">
        <v>24</v>
      </c>
      <c r="C7" s="4">
        <v>2</v>
      </c>
      <c r="D7" s="4">
        <v>2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>
        <v>2</v>
      </c>
      <c r="K7" s="4">
        <v>2</v>
      </c>
      <c r="L7" s="4">
        <v>2</v>
      </c>
      <c r="M7" s="4">
        <v>2</v>
      </c>
      <c r="N7" s="4">
        <v>2</v>
      </c>
      <c r="O7" s="4"/>
      <c r="P7" s="4"/>
      <c r="Q7" s="4"/>
      <c r="R7" s="6">
        <f t="shared" si="0"/>
        <v>24</v>
      </c>
    </row>
    <row r="8" spans="1:18" ht="14.25" customHeight="1" x14ac:dyDescent="0.3">
      <c r="A8" s="4" t="s">
        <v>9</v>
      </c>
      <c r="B8" s="7">
        <v>12</v>
      </c>
      <c r="C8" s="4">
        <v>2</v>
      </c>
      <c r="D8" s="4">
        <v>2</v>
      </c>
      <c r="E8" s="4">
        <v>2</v>
      </c>
      <c r="F8" s="4"/>
      <c r="G8" s="4">
        <v>2</v>
      </c>
      <c r="H8" s="4">
        <v>2</v>
      </c>
      <c r="I8" s="4"/>
      <c r="J8" s="4">
        <v>2</v>
      </c>
      <c r="K8" s="4"/>
      <c r="L8" s="4"/>
      <c r="M8" s="4"/>
      <c r="N8" s="4"/>
      <c r="O8" s="4"/>
      <c r="P8" s="4"/>
      <c r="Q8" s="4"/>
      <c r="R8" s="6">
        <f t="shared" si="0"/>
        <v>12</v>
      </c>
    </row>
    <row r="9" spans="1:18" ht="14.25" customHeight="1" x14ac:dyDescent="0.3">
      <c r="A9" s="4" t="s">
        <v>10</v>
      </c>
      <c r="B9" s="7">
        <v>8</v>
      </c>
      <c r="C9" s="4"/>
      <c r="D9" s="4"/>
      <c r="E9" s="4"/>
      <c r="F9" s="4"/>
      <c r="G9" s="4">
        <v>4</v>
      </c>
      <c r="H9" s="4">
        <v>4</v>
      </c>
      <c r="I9" s="4"/>
      <c r="J9" s="4"/>
      <c r="K9" s="4"/>
      <c r="L9" s="4"/>
      <c r="M9" s="4"/>
      <c r="N9" s="4"/>
      <c r="O9" s="4"/>
      <c r="P9" s="4"/>
      <c r="Q9" s="4"/>
      <c r="R9" s="6">
        <f t="shared" si="0"/>
        <v>8</v>
      </c>
    </row>
    <row r="10" spans="1:18" ht="14.25" customHeight="1" x14ac:dyDescent="0.3">
      <c r="A10" s="4" t="s">
        <v>11</v>
      </c>
      <c r="B10" s="7">
        <v>8</v>
      </c>
      <c r="C10" s="4"/>
      <c r="D10" s="4"/>
      <c r="E10" s="4"/>
      <c r="F10" s="4"/>
      <c r="G10" s="4">
        <v>2</v>
      </c>
      <c r="H10" s="4">
        <v>6</v>
      </c>
      <c r="I10" s="4"/>
      <c r="J10" s="4"/>
      <c r="K10" s="4"/>
      <c r="L10" s="4"/>
      <c r="M10" s="4"/>
      <c r="N10" s="4"/>
      <c r="O10" s="4"/>
      <c r="P10" s="4"/>
      <c r="Q10" s="4"/>
      <c r="R10" s="6">
        <f t="shared" si="0"/>
        <v>8</v>
      </c>
    </row>
    <row r="11" spans="1:18" ht="14.25" customHeight="1" x14ac:dyDescent="0.3">
      <c r="A11" s="4" t="s">
        <v>12</v>
      </c>
      <c r="B11" s="7">
        <v>12</v>
      </c>
      <c r="C11" s="4">
        <v>2</v>
      </c>
      <c r="D11" s="4"/>
      <c r="E11" s="4"/>
      <c r="F11" s="4"/>
      <c r="G11" s="4"/>
      <c r="H11" s="4">
        <v>6</v>
      </c>
      <c r="I11" s="4">
        <v>2</v>
      </c>
      <c r="J11" s="4">
        <v>2</v>
      </c>
      <c r="K11" s="4"/>
      <c r="L11" s="4"/>
      <c r="M11" s="4"/>
      <c r="N11" s="4"/>
      <c r="O11" s="4"/>
      <c r="P11" s="4"/>
      <c r="Q11" s="4"/>
      <c r="R11" s="6">
        <f t="shared" si="0"/>
        <v>12</v>
      </c>
    </row>
    <row r="12" spans="1:18" ht="14.25" customHeight="1" x14ac:dyDescent="0.3">
      <c r="A12" s="4" t="s">
        <v>13</v>
      </c>
      <c r="B12" s="7">
        <v>6</v>
      </c>
      <c r="C12" s="4"/>
      <c r="D12" s="4"/>
      <c r="E12" s="4"/>
      <c r="F12" s="4"/>
      <c r="G12" s="4"/>
      <c r="H12" s="4"/>
      <c r="I12" s="4"/>
      <c r="J12" s="4"/>
      <c r="K12" s="4">
        <v>3</v>
      </c>
      <c r="L12" s="4">
        <v>3</v>
      </c>
      <c r="M12" s="4"/>
      <c r="N12" s="4"/>
      <c r="O12" s="4"/>
      <c r="P12" s="4"/>
      <c r="Q12" s="4"/>
      <c r="R12" s="6">
        <f t="shared" si="0"/>
        <v>6</v>
      </c>
    </row>
    <row r="13" spans="1:18" ht="14.25" customHeight="1" x14ac:dyDescent="0.3">
      <c r="A13" s="4" t="s">
        <v>14</v>
      </c>
      <c r="B13" s="7">
        <v>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>
        <v>3</v>
      </c>
      <c r="O13" s="4">
        <v>3</v>
      </c>
      <c r="P13" s="4"/>
      <c r="Q13" s="4"/>
      <c r="R13" s="6">
        <f t="shared" si="0"/>
        <v>6</v>
      </c>
    </row>
    <row r="14" spans="1:18" ht="14.25" customHeight="1" x14ac:dyDescent="0.3">
      <c r="A14" s="4" t="s">
        <v>15</v>
      </c>
      <c r="B14" s="7">
        <v>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v>4</v>
      </c>
      <c r="R14" s="6">
        <f t="shared" si="0"/>
        <v>4</v>
      </c>
    </row>
    <row r="15" spans="1:18" ht="14.25" customHeight="1" x14ac:dyDescent="0.3">
      <c r="A15" s="4" t="s">
        <v>16</v>
      </c>
      <c r="B15" s="7">
        <v>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4</v>
      </c>
      <c r="Q15" s="4">
        <v>4</v>
      </c>
      <c r="R15" s="6">
        <f t="shared" si="0"/>
        <v>8</v>
      </c>
    </row>
    <row r="16" spans="1:18" ht="14.25" customHeight="1" x14ac:dyDescent="0.3">
      <c r="A16" s="4" t="s">
        <v>17</v>
      </c>
      <c r="B16" s="7">
        <v>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2</v>
      </c>
      <c r="Q16" s="4">
        <v>2</v>
      </c>
      <c r="R16" s="6">
        <f t="shared" si="0"/>
        <v>4</v>
      </c>
    </row>
    <row r="17" spans="1:18" ht="14.25" customHeight="1" x14ac:dyDescent="0.3">
      <c r="A17" s="6"/>
      <c r="B17" s="6"/>
      <c r="C17" s="6">
        <f>SUM(C5:C16)</f>
        <v>10</v>
      </c>
      <c r="D17" s="6">
        <f>SUM(D5:D16)</f>
        <v>6</v>
      </c>
      <c r="E17" s="6">
        <f>SUM(E5:E16)</f>
        <v>10</v>
      </c>
      <c r="F17" s="6">
        <f>SUM(F5:F16)</f>
        <v>4</v>
      </c>
      <c r="G17" s="6">
        <f>SUM(G5:G16)</f>
        <v>12</v>
      </c>
      <c r="H17" s="6">
        <f>SUM(H5:H16)</f>
        <v>26</v>
      </c>
      <c r="I17" s="6">
        <f>SUM(I5:I16)</f>
        <v>6</v>
      </c>
      <c r="J17" s="6">
        <f>SUM(J5:J16)</f>
        <v>10</v>
      </c>
      <c r="K17" s="6">
        <f>SUM(K5:K16)</f>
        <v>5</v>
      </c>
      <c r="L17" s="6">
        <f>SUM(L5:L16)</f>
        <v>5</v>
      </c>
      <c r="M17" s="6">
        <f>SUM(M5:M16)</f>
        <v>2</v>
      </c>
      <c r="N17" s="6">
        <f>SUM(N5:N16)</f>
        <v>5</v>
      </c>
      <c r="O17" s="6">
        <f>SUM(O5:O16)</f>
        <v>3</v>
      </c>
      <c r="P17" s="6">
        <f>SUM(P5:P16)</f>
        <v>6</v>
      </c>
      <c r="Q17" s="6">
        <f>SUM(Q5:Q16)</f>
        <v>10</v>
      </c>
      <c r="R17" s="6">
        <f>SUM(R5:R16)</f>
        <v>120</v>
      </c>
    </row>
    <row r="18" spans="1:18" ht="14.25" customHeight="1" x14ac:dyDescent="0.3">
      <c r="A18" s="6"/>
      <c r="B18" s="8">
        <f>SUM(B5:B17)</f>
        <v>120</v>
      </c>
      <c r="C18" s="8">
        <f>B18</f>
        <v>120</v>
      </c>
      <c r="D18" s="8">
        <f>C18-SUM(C5:C16)</f>
        <v>110</v>
      </c>
      <c r="E18" s="8">
        <f>D18-SUM(D5:D16)</f>
        <v>104</v>
      </c>
      <c r="F18" s="8">
        <f>E18-SUM(E5:E16)</f>
        <v>94</v>
      </c>
      <c r="G18" s="8">
        <f>F18-SUM(F5:F16)</f>
        <v>90</v>
      </c>
      <c r="H18" s="8">
        <f>G18-SUM(G5:G16)</f>
        <v>78</v>
      </c>
      <c r="I18" s="8">
        <f>H18-SUM(H5:H16)</f>
        <v>52</v>
      </c>
      <c r="J18" s="8">
        <f>I18-SUM(I5:I16)</f>
        <v>46</v>
      </c>
      <c r="K18" s="8">
        <f>J18-SUM(J5:J16)</f>
        <v>36</v>
      </c>
      <c r="L18" s="8">
        <f>K18-SUM(K5:K16)</f>
        <v>31</v>
      </c>
      <c r="M18" s="8">
        <f>L18-SUM(L5:L16)</f>
        <v>26</v>
      </c>
      <c r="N18" s="8">
        <f>M18-SUM(M5:M16)</f>
        <v>24</v>
      </c>
      <c r="O18" s="8">
        <f>N18-SUM(N5:N16)</f>
        <v>19</v>
      </c>
      <c r="P18" s="8">
        <f>O18-SUM(O5:O16)</f>
        <v>16</v>
      </c>
      <c r="Q18" s="8">
        <f>P18-SUM(P5:P16)</f>
        <v>10</v>
      </c>
      <c r="R18" s="8"/>
    </row>
    <row r="19" spans="1:18" ht="14.25" customHeight="1" x14ac:dyDescent="0.3">
      <c r="A19" s="9" t="s">
        <v>4</v>
      </c>
      <c r="B19" s="6">
        <f>C18</f>
        <v>120</v>
      </c>
      <c r="C19" s="6">
        <f>B19-C17</f>
        <v>110</v>
      </c>
      <c r="D19" s="6">
        <f t="shared" ref="C19:Q19" si="1">C19-D17</f>
        <v>104</v>
      </c>
      <c r="E19" s="6">
        <f t="shared" si="1"/>
        <v>94</v>
      </c>
      <c r="F19" s="6">
        <f t="shared" si="1"/>
        <v>90</v>
      </c>
      <c r="G19" s="6">
        <f t="shared" si="1"/>
        <v>78</v>
      </c>
      <c r="H19" s="6">
        <f t="shared" si="1"/>
        <v>52</v>
      </c>
      <c r="I19" s="6">
        <f t="shared" si="1"/>
        <v>46</v>
      </c>
      <c r="J19" s="6">
        <f t="shared" si="1"/>
        <v>36</v>
      </c>
      <c r="K19" s="6">
        <f t="shared" si="1"/>
        <v>31</v>
      </c>
      <c r="L19" s="6">
        <f t="shared" si="1"/>
        <v>26</v>
      </c>
      <c r="M19" s="6">
        <f t="shared" si="1"/>
        <v>24</v>
      </c>
      <c r="N19" s="6">
        <f t="shared" si="1"/>
        <v>19</v>
      </c>
      <c r="O19" s="6">
        <f t="shared" si="1"/>
        <v>16</v>
      </c>
      <c r="P19" s="6">
        <f t="shared" si="1"/>
        <v>10</v>
      </c>
      <c r="Q19" s="6">
        <f t="shared" si="1"/>
        <v>0</v>
      </c>
      <c r="R19" s="6"/>
    </row>
    <row r="20" spans="1:18" ht="14.25" customHeight="1" x14ac:dyDescent="0.3">
      <c r="A20" s="6"/>
      <c r="B20" s="8">
        <f>SUM(B5:B16)</f>
        <v>120</v>
      </c>
      <c r="C20" s="8">
        <f>SUM(B5:B16)</f>
        <v>120</v>
      </c>
      <c r="D20" s="8">
        <f>C20-(SUM($B$5:$B$16)/20)</f>
        <v>114</v>
      </c>
      <c r="E20" s="8">
        <f>D20-(SUM($B$5:$B$16)/20)</f>
        <v>108</v>
      </c>
      <c r="F20" s="8">
        <f>E20-(SUM($B$5:$B$16)/20)</f>
        <v>102</v>
      </c>
      <c r="G20" s="8">
        <f>F20-(SUM($B$5:$B$16)/20)</f>
        <v>96</v>
      </c>
      <c r="H20" s="8">
        <f>G20-(SUM($B$5:$B$16)/20)</f>
        <v>90</v>
      </c>
      <c r="I20" s="8">
        <f>H20-(SUM($B$5:$B$16)/20)</f>
        <v>84</v>
      </c>
      <c r="J20" s="8">
        <f>I20-(SUM($B$5:$B$16)/20)</f>
        <v>78</v>
      </c>
      <c r="K20" s="8">
        <f>J20-(SUM($B$5:$B$16)/20)</f>
        <v>72</v>
      </c>
      <c r="L20" s="8">
        <f>K20-(SUM($B$5:$B$16)/20)</f>
        <v>66</v>
      </c>
      <c r="M20" s="8">
        <f>L20-(SUM($B$5:$B$16)/20)</f>
        <v>60</v>
      </c>
      <c r="N20" s="8">
        <f>M20-(SUM($B$5:$B$16)/20)</f>
        <v>54</v>
      </c>
      <c r="O20" s="8">
        <f>N20-(SUM($B$5:$B$16)/20)</f>
        <v>48</v>
      </c>
      <c r="P20" s="8">
        <f>O20-(SUM($B$5:$B$16)/20)</f>
        <v>42</v>
      </c>
      <c r="Q20" s="8">
        <f>P20-(SUM($B$5:$B$16)/20)</f>
        <v>36</v>
      </c>
      <c r="R20" s="8"/>
    </row>
    <row r="21" spans="1:18" ht="14.25" customHeight="1" x14ac:dyDescent="0.3">
      <c r="A21" s="9" t="s">
        <v>5</v>
      </c>
      <c r="B21" s="6">
        <f>C20</f>
        <v>120</v>
      </c>
      <c r="C21" s="6">
        <f t="shared" ref="C21:Q21" si="2">B21-C17</f>
        <v>110</v>
      </c>
      <c r="D21" s="6">
        <f t="shared" si="2"/>
        <v>104</v>
      </c>
      <c r="E21" s="6">
        <f t="shared" si="2"/>
        <v>94</v>
      </c>
      <c r="F21" s="6">
        <f t="shared" si="2"/>
        <v>90</v>
      </c>
      <c r="G21" s="6">
        <f t="shared" si="2"/>
        <v>78</v>
      </c>
      <c r="H21" s="6">
        <f t="shared" si="2"/>
        <v>52</v>
      </c>
      <c r="I21" s="6">
        <f t="shared" si="2"/>
        <v>46</v>
      </c>
      <c r="J21" s="6">
        <f t="shared" si="2"/>
        <v>36</v>
      </c>
      <c r="K21" s="6">
        <f t="shared" si="2"/>
        <v>31</v>
      </c>
      <c r="L21" s="6">
        <f t="shared" si="2"/>
        <v>26</v>
      </c>
      <c r="M21" s="6">
        <f t="shared" si="2"/>
        <v>24</v>
      </c>
      <c r="N21" s="6">
        <f t="shared" si="2"/>
        <v>19</v>
      </c>
      <c r="O21" s="6">
        <f t="shared" si="2"/>
        <v>16</v>
      </c>
      <c r="P21" s="6">
        <f t="shared" si="2"/>
        <v>10</v>
      </c>
      <c r="Q21" s="6">
        <f t="shared" si="2"/>
        <v>0</v>
      </c>
      <c r="R21" s="6"/>
    </row>
    <row r="22" spans="1:18" ht="14.25" customHeight="1" x14ac:dyDescent="0.3">
      <c r="A22" s="2"/>
      <c r="B22" s="1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4.25" customHeight="1" x14ac:dyDescent="0.3">
      <c r="A23" s="2"/>
      <c r="B23" s="10"/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4.25" customHeight="1" x14ac:dyDescent="0.3">
      <c r="A24" s="2"/>
      <c r="B24" s="10"/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.25" customHeight="1" x14ac:dyDescent="0.3">
      <c r="A25" s="2"/>
      <c r="B25" s="10"/>
      <c r="C25" s="2"/>
      <c r="D25" s="2"/>
      <c r="E25" s="2"/>
      <c r="F25" s="2"/>
      <c r="G25" s="10"/>
      <c r="H25" s="2"/>
      <c r="I25" s="2"/>
    </row>
    <row r="26" spans="1:18" ht="14.25" customHeight="1" x14ac:dyDescent="0.3">
      <c r="A26" s="2"/>
      <c r="B26" s="10"/>
      <c r="C26" s="2"/>
      <c r="D26" s="2"/>
      <c r="E26" s="2"/>
      <c r="F26" s="2"/>
      <c r="G26" s="10"/>
      <c r="H26" s="2"/>
      <c r="I26" s="2"/>
    </row>
    <row r="27" spans="1:18" ht="14.25" customHeight="1" x14ac:dyDescent="0.3">
      <c r="A27" s="2"/>
      <c r="B27" s="10"/>
      <c r="C27" s="2"/>
      <c r="D27" s="2"/>
      <c r="E27" s="2"/>
      <c r="F27" s="2"/>
      <c r="G27" s="10"/>
      <c r="H27" s="2"/>
      <c r="I27" s="2"/>
    </row>
    <row r="28" spans="1:18" ht="14.25" customHeight="1" x14ac:dyDescent="0.3">
      <c r="A28" s="2"/>
      <c r="B28" s="10"/>
      <c r="C28" s="2"/>
      <c r="D28" s="2"/>
      <c r="E28" s="2"/>
      <c r="F28" s="2"/>
      <c r="G28" s="10"/>
      <c r="H28" s="2"/>
      <c r="I28" s="2"/>
    </row>
    <row r="29" spans="1:18" ht="14.25" customHeight="1" x14ac:dyDescent="0.3">
      <c r="A29" s="2"/>
      <c r="B29" s="10"/>
      <c r="C29" s="2"/>
      <c r="D29" s="2"/>
      <c r="E29" s="2"/>
      <c r="F29" s="2"/>
      <c r="G29" s="2"/>
      <c r="H29" s="2"/>
      <c r="I29" s="2"/>
    </row>
    <row r="30" spans="1:18" ht="14.25" customHeight="1" x14ac:dyDescent="0.3">
      <c r="A30" s="2"/>
      <c r="B30" s="10"/>
      <c r="C30" s="2"/>
      <c r="D30" s="2"/>
      <c r="E30" s="2"/>
      <c r="F30" s="2"/>
      <c r="G30" s="2"/>
      <c r="H30" s="2"/>
      <c r="I30" s="2"/>
    </row>
    <row r="31" spans="1:18" ht="14.25" customHeight="1" x14ac:dyDescent="0.3">
      <c r="A31" s="2"/>
      <c r="B31" s="10"/>
      <c r="C31" s="2"/>
      <c r="D31" s="2"/>
      <c r="E31" s="2"/>
      <c r="F31" s="2"/>
      <c r="G31" s="2"/>
      <c r="H31" s="2"/>
      <c r="I31" s="2"/>
    </row>
    <row r="32" spans="1:1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</sheetData>
  <mergeCells count="4">
    <mergeCell ref="A3:A4"/>
    <mergeCell ref="B3:B4"/>
    <mergeCell ref="R3:R4"/>
    <mergeCell ref="C3:Q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nah bruh</cp:lastModifiedBy>
  <dcterms:created xsi:type="dcterms:W3CDTF">2018-02-12T12:05:26Z</dcterms:created>
  <dcterms:modified xsi:type="dcterms:W3CDTF">2025-12-10T02:48:13Z</dcterms:modified>
</cp:coreProperties>
</file>
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958CBFA-74EA-4168-8606-B7781CB047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jVTng0a0gjz8j+I631YXc6s57+VTInM2oO6ZoT5jLM="/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5" i="1"/>
  <c r="R6" i="1"/>
  <c r="R7" i="1"/>
  <c r="R8" i="1"/>
  <c r="R9" i="1"/>
  <c r="R10" i="1"/>
  <c r="R11" i="1"/>
  <c r="R12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8" i="1"/>
  <c r="C28" i="1" s="1"/>
  <c r="B30" i="1"/>
  <c r="C30" i="1"/>
  <c r="B31" i="1" s="1"/>
  <c r="C31" i="1" l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B29" i="1"/>
  <c r="C29" i="1" s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27" i="1"/>
</calcChain>
</file>

<file path=xl/sharedStrings.xml><?xml version="1.0" encoding="utf-8"?>
<sst xmlns="http://schemas.openxmlformats.org/spreadsheetml/2006/main" count="29" uniqueCount="29">
  <si>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</si>
  <si>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</si>
  <si>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</si>
  <si>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</si>
  <si>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</si>
  <si>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</si>
  <si>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HU-04 T-31</t>
  </si>
  <si>
    <t>HU-04 T-32</t>
  </si>
  <si>
    <t>HU-04 T-33</t>
  </si>
  <si>
    <t>HU-04 T-34</t>
  </si>
  <si>
    <t>HU-10 T-35</t>
  </si>
  <si>
    <t>HU-10 T-36</t>
  </si>
  <si>
    <t>HU-10 T-37</t>
  </si>
  <si>
    <t>HU-06 T-38</t>
  </si>
  <si>
    <t>HU-06 T-39</t>
  </si>
  <si>
    <t>HU-08 T-40</t>
  </si>
  <si>
    <t>HU-08 T-41</t>
  </si>
  <si>
    <t>HU-08 T-42</t>
  </si>
  <si>
    <t>HU-11 T-43</t>
  </si>
  <si>
    <t>HU-11 T-44</t>
  </si>
  <si>
    <t>HU-11 T-45</t>
  </si>
  <si>
    <t>HU-14 T-46</t>
  </si>
  <si>
    <t>HU-14 T-47</t>
  </si>
  <si>
    <t>HU-14 T-48</t>
  </si>
  <si>
    <t>HU-15 T-49</t>
  </si>
  <si>
    <t>HU-15 T-50</t>
  </si>
  <si>
    <t>HU-12 T-51</t>
  </si>
  <si>
    <t>HU-13 T-52</t>
  </si>
  <si>
    <t>Control del Sprint 2 de 15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</si>
</sst>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6" xfId="0" applyFont="1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 wrapText="1"/>
    </xf>
    <xf numFmtId="0" fontId="2" fillId="0" borderId="6" xfId="0" applyFont="1" applyBorder="1"/>
    <xf numFmtId="0" fontId="2" fillId="3" borderId="5" xfId="0" applyFont="1" applyFill="1" applyBorder="1" applyAlignment="1">
      <alignment horizontal="center" wrapText="1"/>
    </xf>
    <xf numFmtId="0" fontId="3" fillId="3" borderId="6" xfId="0" applyFont="1" applyFill="1" applyBorder="1"/>
    <xf numFmtId="0" fontId="2" fillId="3" borderId="5" xfId="0" applyFont="1" applyFill="1" applyBorder="1" applyAlignment="1">
      <alignment horizontal="center"/>
    </xf>
    <xf numFmtId="0" fontId="4" fillId="0" borderId="6" xfId="0" applyFont="1" applyBorder="1"/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Sprint2!$C$5:$Q$5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2-4C22-9461-9B498E545ABB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Sprint2!$C$6:$Q$6</c:f>
              <c:numCache>
                <c:formatCode>General</c:formatCode>
                <c:ptCount val="15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2-4C22-9461-9B498E545ABB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Sprint2!$C$7:$Q$7</c:f>
              <c:numCache>
                <c:formatCode>General</c:formatCode>
                <c:ptCount val="15"/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2-4C22-9461-9B498E545ABB}"/>
            </c:ext>
          </c:extLst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Sprint2!$C$8:$Q$8</c:f>
              <c:numCache>
                <c:formatCode>General</c:formatCode>
                <c:ptCount val="15"/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42-4C22-9461-9B498E545ABB}"/>
            </c:ext>
          </c:extLst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Sprint2!$C$9:$Q$9</c:f>
              <c:numCache>
                <c:formatCode>General</c:formatCode>
                <c:ptCount val="15"/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42-4C22-9461-9B498E545ABB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Sprint2!$D$28:$R$28</c:f>
              <c:numCache>
                <c:formatCode>General</c:formatCode>
                <c:ptCount val="15"/>
                <c:pt idx="0">
                  <c:v>164</c:v>
                </c:pt>
                <c:pt idx="1">
                  <c:v>158</c:v>
                </c:pt>
                <c:pt idx="2">
                  <c:v>140</c:v>
                </c:pt>
                <c:pt idx="3">
                  <c:v>118</c:v>
                </c:pt>
                <c:pt idx="4">
                  <c:v>90</c:v>
                </c:pt>
                <c:pt idx="5">
                  <c:v>70</c:v>
                </c:pt>
                <c:pt idx="6">
                  <c:v>54</c:v>
                </c:pt>
                <c:pt idx="7">
                  <c:v>44</c:v>
                </c:pt>
                <c:pt idx="8">
                  <c:v>40</c:v>
                </c:pt>
                <c:pt idx="9">
                  <c:v>36</c:v>
                </c:pt>
                <c:pt idx="10">
                  <c:v>32</c:v>
                </c:pt>
                <c:pt idx="11">
                  <c:v>22</c:v>
                </c:pt>
                <c:pt idx="12">
                  <c:v>10</c:v>
                </c:pt>
                <c:pt idx="1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42-4C22-9461-9B498E545ABB}"/>
            </c:ext>
          </c:extLst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numRef>
              <c:f>Sprint2!$C$4:$Q$4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Sprint2!$D$30:$R$30</c:f>
              <c:numCache>
                <c:formatCode>General</c:formatCode>
                <c:ptCount val="15"/>
                <c:pt idx="0">
                  <c:v>157.69999999999999</c:v>
                </c:pt>
                <c:pt idx="1">
                  <c:v>149.39999999999998</c:v>
                </c:pt>
                <c:pt idx="2">
                  <c:v>141.09999999999997</c:v>
                </c:pt>
                <c:pt idx="3">
                  <c:v>132.79999999999995</c:v>
                </c:pt>
                <c:pt idx="4">
                  <c:v>124.49999999999996</c:v>
                </c:pt>
                <c:pt idx="5">
                  <c:v>116.19999999999996</c:v>
                </c:pt>
                <c:pt idx="6">
                  <c:v>107.89999999999996</c:v>
                </c:pt>
                <c:pt idx="7">
                  <c:v>99.599999999999966</c:v>
                </c:pt>
                <c:pt idx="8">
                  <c:v>91.299999999999969</c:v>
                </c:pt>
                <c:pt idx="9">
                  <c:v>82.999999999999972</c:v>
                </c:pt>
                <c:pt idx="10">
                  <c:v>74.699999999999974</c:v>
                </c:pt>
                <c:pt idx="11">
                  <c:v>66.399999999999977</c:v>
                </c:pt>
                <c:pt idx="12">
                  <c:v>58.09999999999998</c:v>
                </c:pt>
                <c:pt idx="13">
                  <c:v>49.799999999999983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42-4C22-9461-9B498E54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134061"/>
        <c:axId val="374052861"/>
      </c:lineChart>
      <c:catAx>
        <c:axId val="1820134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74052861"/>
        <c:crosses val="autoZero"/>
        <c:auto val="1"/>
        <c:lblAlgn val="ctr"/>
        <c:lblOffset val="100"/>
        <c:noMultiLvlLbl val="1"/>
      </c:catAx>
      <c:valAx>
        <c:axId val="374052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201340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209550</xdr:colOff>
      <xdr:row>3</xdr:row>
      <xdr:rowOff>95250</xdr:rowOff>
    </xdr:from>
    <xdr:ext cx="3524250" cy="5467350"/>
    <xdr:graphicFrame macro="">
      <xdr:nvGraphicFramePr>
        <xdr:cNvPr id="48008533" name="Chart 1" title="Gráfico">
          <a:extLst>
            <a:ext uri="{FF2B5EF4-FFF2-40B4-BE49-F238E27FC236}">
              <a16:creationId xmlns:a16="http://schemas.microsoft.com/office/drawing/2014/main" id="{00000000-0008-0000-0000-0000558DD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zoomScale="85" zoomScaleNormal="85" workbookViewId="0"/>
  </sheetViews>
  <sheetFormatPr baseColWidth="10" defaultColWidth="14.44140625" defaultRowHeight="15" customHeight="1" x14ac:dyDescent="0.3"/>
  <cols>
    <col min="1" max="1" width="30.5546875" customWidth="1"/>
    <col min="2" max="2" width="17" customWidth="1"/>
    <col min="3" max="17" width="8.109375" customWidth="1"/>
    <col min="18" max="23" width="10.6640625" customWidth="1"/>
    <col min="24" max="24" width="56.33203125" customWidth="1"/>
  </cols>
  <sheetData>
    <row r="1" spans="1:18" ht="18" customHeight="1" x14ac:dyDescent="0.4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4.25" customHeight="1" x14ac:dyDescent="0.3">
      <c r="A3" s="13" t="s">
        <v>0</v>
      </c>
      <c r="B3" s="13" t="s">
        <v>1</v>
      </c>
      <c r="C3" s="14" t="s">
        <v>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3" t="s">
        <v>3</v>
      </c>
    </row>
    <row r="4" spans="1:18" ht="14.25" customHeight="1" x14ac:dyDescent="0.3">
      <c r="A4" s="15"/>
      <c r="B4" s="1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15"/>
    </row>
    <row r="5" spans="1:18" ht="14.25" customHeight="1" x14ac:dyDescent="0.3">
      <c r="A5" s="4" t="s">
        <v>6</v>
      </c>
      <c r="B5" s="5">
        <v>6</v>
      </c>
      <c r="C5" s="4">
        <v>2</v>
      </c>
      <c r="D5" s="4">
        <v>2</v>
      </c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6">
        <f t="shared" ref="R5:R26" si="0">SUM(C5:Q5)</f>
        <v>6</v>
      </c>
    </row>
    <row r="6" spans="1:18" ht="14.25" customHeight="1" x14ac:dyDescent="0.3">
      <c r="A6" s="4" t="s">
        <v>7</v>
      </c>
      <c r="B6" s="7">
        <v>8</v>
      </c>
      <c r="C6" s="4"/>
      <c r="D6" s="4">
        <v>2</v>
      </c>
      <c r="E6" s="4">
        <v>2</v>
      </c>
      <c r="F6" s="4">
        <v>2</v>
      </c>
      <c r="G6" s="4">
        <v>2</v>
      </c>
      <c r="H6" s="4"/>
      <c r="I6" s="4"/>
      <c r="J6" s="4"/>
      <c r="K6" s="4"/>
      <c r="L6" s="4"/>
      <c r="M6" s="4"/>
      <c r="N6" s="4"/>
      <c r="O6" s="4"/>
      <c r="P6" s="4"/>
      <c r="Q6" s="4"/>
      <c r="R6" s="6">
        <f t="shared" si="0"/>
        <v>8</v>
      </c>
    </row>
    <row r="7" spans="1:18" ht="14.25" customHeight="1" x14ac:dyDescent="0.3">
      <c r="A7" s="4" t="s">
        <v>8</v>
      </c>
      <c r="B7" s="7">
        <v>6</v>
      </c>
      <c r="C7" s="4"/>
      <c r="D7" s="4">
        <v>2</v>
      </c>
      <c r="E7" s="4">
        <v>2</v>
      </c>
      <c r="F7" s="4">
        <v>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6">
        <f t="shared" si="0"/>
        <v>6</v>
      </c>
    </row>
    <row r="8" spans="1:18" ht="14.25" customHeight="1" x14ac:dyDescent="0.3">
      <c r="A8" s="4" t="s">
        <v>9</v>
      </c>
      <c r="B8" s="7">
        <v>6</v>
      </c>
      <c r="C8" s="4"/>
      <c r="D8" s="4"/>
      <c r="E8" s="4">
        <v>2</v>
      </c>
      <c r="F8" s="4">
        <v>2</v>
      </c>
      <c r="G8" s="4">
        <v>2</v>
      </c>
      <c r="H8" s="4"/>
      <c r="I8" s="4"/>
      <c r="J8" s="4"/>
      <c r="K8" s="4"/>
      <c r="L8" s="4"/>
      <c r="M8" s="4"/>
      <c r="N8" s="4"/>
      <c r="O8" s="4"/>
      <c r="P8" s="4"/>
      <c r="Q8" s="4"/>
      <c r="R8" s="6">
        <f t="shared" si="0"/>
        <v>6</v>
      </c>
    </row>
    <row r="9" spans="1:18" ht="14.25" customHeight="1" x14ac:dyDescent="0.3">
      <c r="A9" s="4" t="s">
        <v>10</v>
      </c>
      <c r="B9" s="7">
        <v>8</v>
      </c>
      <c r="C9" s="4"/>
      <c r="D9" s="4"/>
      <c r="E9" s="4">
        <v>4</v>
      </c>
      <c r="F9" s="4">
        <v>2</v>
      </c>
      <c r="G9" s="4">
        <v>2</v>
      </c>
      <c r="H9" s="8"/>
      <c r="I9" s="8"/>
      <c r="J9" s="4"/>
      <c r="K9" s="4"/>
      <c r="L9" s="4"/>
      <c r="M9" s="4"/>
      <c r="N9" s="4"/>
      <c r="O9" s="4"/>
      <c r="P9" s="4"/>
      <c r="Q9" s="4"/>
      <c r="R9" s="6">
        <f t="shared" si="0"/>
        <v>8</v>
      </c>
    </row>
    <row r="10" spans="1:18" ht="14.25" customHeight="1" x14ac:dyDescent="0.3">
      <c r="A10" s="4" t="s">
        <v>11</v>
      </c>
      <c r="B10" s="7">
        <v>6</v>
      </c>
      <c r="C10" s="4"/>
      <c r="D10" s="4"/>
      <c r="E10" s="4">
        <v>2</v>
      </c>
      <c r="F10" s="4">
        <v>2</v>
      </c>
      <c r="G10" s="4">
        <v>2</v>
      </c>
      <c r="H10" s="8"/>
      <c r="I10" s="8"/>
      <c r="J10" s="8"/>
      <c r="K10" s="4"/>
      <c r="L10" s="4"/>
      <c r="M10" s="4"/>
      <c r="N10" s="4"/>
      <c r="O10" s="4"/>
      <c r="P10" s="4"/>
      <c r="Q10" s="4"/>
      <c r="R10" s="6">
        <f t="shared" si="0"/>
        <v>6</v>
      </c>
    </row>
    <row r="11" spans="1:18" ht="14.25" customHeight="1" x14ac:dyDescent="0.3">
      <c r="A11" s="4" t="s">
        <v>12</v>
      </c>
      <c r="B11" s="7">
        <v>8</v>
      </c>
      <c r="C11" s="4"/>
      <c r="D11" s="4"/>
      <c r="E11" s="4">
        <v>4</v>
      </c>
      <c r="F11" s="4">
        <v>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6">
        <f t="shared" si="0"/>
        <v>8</v>
      </c>
    </row>
    <row r="12" spans="1:18" ht="14.25" customHeight="1" x14ac:dyDescent="0.3">
      <c r="A12" s="4" t="s">
        <v>13</v>
      </c>
      <c r="B12" s="7">
        <v>6</v>
      </c>
      <c r="C12" s="4"/>
      <c r="D12" s="4"/>
      <c r="E12" s="4"/>
      <c r="F12" s="4">
        <v>2</v>
      </c>
      <c r="G12" s="4">
        <v>2</v>
      </c>
      <c r="H12" s="4">
        <v>2</v>
      </c>
      <c r="I12" s="4"/>
      <c r="J12" s="4"/>
      <c r="K12" s="4"/>
      <c r="L12" s="4"/>
      <c r="M12" s="4"/>
      <c r="N12" s="4"/>
      <c r="O12" s="4"/>
      <c r="P12" s="4"/>
      <c r="Q12" s="4"/>
      <c r="R12" s="6">
        <f t="shared" si="0"/>
        <v>6</v>
      </c>
    </row>
    <row r="13" spans="1:18" ht="14.25" customHeight="1" x14ac:dyDescent="0.3">
      <c r="A13" s="4" t="s">
        <v>14</v>
      </c>
      <c r="B13" s="7">
        <v>4</v>
      </c>
      <c r="C13" s="4"/>
      <c r="D13" s="4"/>
      <c r="E13" s="4"/>
      <c r="F13" s="4">
        <v>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6">
        <f t="shared" si="0"/>
        <v>4</v>
      </c>
    </row>
    <row r="14" spans="1:18" ht="14.25" customHeight="1" x14ac:dyDescent="0.3">
      <c r="A14" s="4" t="s">
        <v>15</v>
      </c>
      <c r="B14" s="7">
        <v>8</v>
      </c>
      <c r="C14" s="4"/>
      <c r="D14" s="4"/>
      <c r="E14" s="4"/>
      <c r="F14" s="4">
        <v>2</v>
      </c>
      <c r="G14" s="4">
        <v>2</v>
      </c>
      <c r="H14" s="4">
        <v>2</v>
      </c>
      <c r="I14" s="4">
        <v>2</v>
      </c>
      <c r="J14" s="4"/>
      <c r="K14" s="4"/>
      <c r="L14" s="4"/>
      <c r="M14" s="4"/>
      <c r="N14" s="4"/>
      <c r="O14" s="4"/>
      <c r="P14" s="4"/>
      <c r="Q14" s="4"/>
      <c r="R14" s="6">
        <f t="shared" si="0"/>
        <v>8</v>
      </c>
    </row>
    <row r="15" spans="1:18" ht="14.25" customHeight="1" x14ac:dyDescent="0.3">
      <c r="A15" s="4" t="s">
        <v>16</v>
      </c>
      <c r="B15" s="7">
        <v>8</v>
      </c>
      <c r="C15" s="4"/>
      <c r="D15" s="4"/>
      <c r="E15" s="4"/>
      <c r="F15" s="4"/>
      <c r="G15" s="4">
        <v>2</v>
      </c>
      <c r="H15" s="4">
        <v>2</v>
      </c>
      <c r="I15" s="4">
        <v>2</v>
      </c>
      <c r="J15" s="4">
        <v>2</v>
      </c>
      <c r="K15" s="4"/>
      <c r="L15" s="4"/>
      <c r="M15" s="4"/>
      <c r="N15" s="4"/>
      <c r="O15" s="4"/>
      <c r="P15" s="4"/>
      <c r="Q15" s="4"/>
      <c r="R15" s="6">
        <f t="shared" si="0"/>
        <v>8</v>
      </c>
    </row>
    <row r="16" spans="1:18" ht="14.25" customHeight="1" x14ac:dyDescent="0.3">
      <c r="A16" s="4" t="s">
        <v>17</v>
      </c>
      <c r="B16" s="7">
        <v>6</v>
      </c>
      <c r="C16" s="4"/>
      <c r="D16" s="4"/>
      <c r="E16" s="4"/>
      <c r="F16" s="4"/>
      <c r="G16" s="4">
        <v>2</v>
      </c>
      <c r="H16" s="4">
        <v>2</v>
      </c>
      <c r="I16" s="4">
        <v>2</v>
      </c>
      <c r="J16" s="4"/>
      <c r="K16" s="4"/>
      <c r="L16" s="4"/>
      <c r="M16" s="4"/>
      <c r="N16" s="4"/>
      <c r="O16" s="4"/>
      <c r="P16" s="4"/>
      <c r="Q16" s="4"/>
      <c r="R16" s="6">
        <f t="shared" si="0"/>
        <v>6</v>
      </c>
    </row>
    <row r="17" spans="1:18" ht="14.25" customHeight="1" x14ac:dyDescent="0.3">
      <c r="A17" s="4" t="s">
        <v>18</v>
      </c>
      <c r="B17" s="7">
        <v>12</v>
      </c>
      <c r="C17" s="4"/>
      <c r="D17" s="4"/>
      <c r="E17" s="4"/>
      <c r="F17" s="4"/>
      <c r="G17" s="4">
        <v>4</v>
      </c>
      <c r="H17" s="4">
        <v>4</v>
      </c>
      <c r="I17" s="4">
        <v>4</v>
      </c>
      <c r="J17" s="4"/>
      <c r="K17" s="4"/>
      <c r="L17" s="4"/>
      <c r="M17" s="4"/>
      <c r="N17" s="4"/>
      <c r="O17" s="4"/>
      <c r="P17" s="4"/>
      <c r="Q17" s="4"/>
      <c r="R17" s="6">
        <f t="shared" si="0"/>
        <v>12</v>
      </c>
    </row>
    <row r="18" spans="1:18" ht="14.25" customHeight="1" x14ac:dyDescent="0.3">
      <c r="A18" s="4" t="s">
        <v>19</v>
      </c>
      <c r="B18" s="7">
        <v>16</v>
      </c>
      <c r="C18" s="4"/>
      <c r="D18" s="4"/>
      <c r="E18" s="4"/>
      <c r="F18" s="4"/>
      <c r="G18" s="4">
        <v>4</v>
      </c>
      <c r="H18" s="4">
        <v>4</v>
      </c>
      <c r="I18" s="4">
        <v>4</v>
      </c>
      <c r="J18" s="4">
        <v>4</v>
      </c>
      <c r="K18" s="4"/>
      <c r="L18" s="4"/>
      <c r="M18" s="4"/>
      <c r="N18" s="4"/>
      <c r="O18" s="4"/>
      <c r="P18" s="4"/>
      <c r="Q18" s="4"/>
      <c r="R18" s="6">
        <f t="shared" si="0"/>
        <v>16</v>
      </c>
    </row>
    <row r="19" spans="1:18" ht="14.25" customHeight="1" x14ac:dyDescent="0.3">
      <c r="A19" s="4" t="s">
        <v>20</v>
      </c>
      <c r="B19" s="7">
        <v>8</v>
      </c>
      <c r="C19" s="4"/>
      <c r="D19" s="4"/>
      <c r="E19" s="4"/>
      <c r="F19" s="4"/>
      <c r="G19" s="4">
        <v>2</v>
      </c>
      <c r="H19" s="4">
        <v>2</v>
      </c>
      <c r="I19" s="4">
        <v>2</v>
      </c>
      <c r="J19" s="4">
        <v>2</v>
      </c>
      <c r="K19" s="4"/>
      <c r="L19" s="4"/>
      <c r="M19" s="4"/>
      <c r="N19" s="4"/>
      <c r="O19" s="4"/>
      <c r="P19" s="4"/>
      <c r="Q19" s="4"/>
      <c r="R19" s="6">
        <f t="shared" si="0"/>
        <v>8</v>
      </c>
    </row>
    <row r="20" spans="1:18" ht="14.25" customHeight="1" x14ac:dyDescent="0.3">
      <c r="A20" s="4" t="s">
        <v>21</v>
      </c>
      <c r="B20" s="7">
        <v>4</v>
      </c>
      <c r="C20" s="4"/>
      <c r="D20" s="4"/>
      <c r="E20" s="4"/>
      <c r="F20" s="4"/>
      <c r="G20" s="4">
        <v>2</v>
      </c>
      <c r="H20" s="4">
        <v>2</v>
      </c>
      <c r="I20" s="4"/>
      <c r="J20" s="4"/>
      <c r="K20" s="4"/>
      <c r="L20" s="4"/>
      <c r="M20" s="4"/>
      <c r="N20" s="4"/>
      <c r="O20" s="4"/>
      <c r="P20" s="4"/>
      <c r="Q20" s="4"/>
      <c r="R20" s="6">
        <f t="shared" si="0"/>
        <v>4</v>
      </c>
    </row>
    <row r="21" spans="1:18" ht="14.25" customHeight="1" x14ac:dyDescent="0.3">
      <c r="A21" s="4" t="s">
        <v>22</v>
      </c>
      <c r="B21" s="7">
        <v>8</v>
      </c>
      <c r="C21" s="4"/>
      <c r="D21" s="4"/>
      <c r="E21" s="4"/>
      <c r="F21" s="4"/>
      <c r="G21" s="4"/>
      <c r="H21" s="4"/>
      <c r="I21" s="4"/>
      <c r="J21" s="4">
        <v>2</v>
      </c>
      <c r="K21" s="4">
        <v>2</v>
      </c>
      <c r="L21" s="4">
        <v>2</v>
      </c>
      <c r="M21" s="4">
        <v>2</v>
      </c>
      <c r="N21" s="4"/>
      <c r="O21" s="4"/>
      <c r="P21" s="4"/>
      <c r="Q21" s="4"/>
      <c r="R21" s="6">
        <f t="shared" si="0"/>
        <v>8</v>
      </c>
    </row>
    <row r="22" spans="1:18" ht="14.25" customHeight="1" x14ac:dyDescent="0.3">
      <c r="A22" s="4" t="s">
        <v>23</v>
      </c>
      <c r="B22" s="7">
        <v>8</v>
      </c>
      <c r="C22" s="4"/>
      <c r="D22" s="4"/>
      <c r="E22" s="4"/>
      <c r="F22" s="4"/>
      <c r="G22" s="4"/>
      <c r="H22" s="4"/>
      <c r="I22" s="4"/>
      <c r="J22" s="4"/>
      <c r="K22" s="4">
        <v>2</v>
      </c>
      <c r="L22" s="4">
        <v>2</v>
      </c>
      <c r="M22" s="4">
        <v>2</v>
      </c>
      <c r="N22" s="4">
        <v>2</v>
      </c>
      <c r="O22" s="4"/>
      <c r="P22" s="4"/>
      <c r="Q22" s="4"/>
      <c r="R22" s="6">
        <f t="shared" si="0"/>
        <v>8</v>
      </c>
    </row>
    <row r="23" spans="1:18" ht="14.25" customHeight="1" x14ac:dyDescent="0.3">
      <c r="A23" s="4" t="s">
        <v>24</v>
      </c>
      <c r="B23" s="7">
        <v>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>
        <v>4</v>
      </c>
      <c r="O23" s="4">
        <v>4</v>
      </c>
      <c r="P23" s="4"/>
      <c r="Q23" s="4"/>
      <c r="R23" s="6">
        <f t="shared" si="0"/>
        <v>8</v>
      </c>
    </row>
    <row r="24" spans="1:18" ht="14.25" customHeight="1" x14ac:dyDescent="0.3">
      <c r="A24" s="4" t="s">
        <v>25</v>
      </c>
      <c r="B24" s="7">
        <v>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>
        <v>4</v>
      </c>
      <c r="O24" s="4">
        <v>4</v>
      </c>
      <c r="P24" s="4"/>
      <c r="Q24" s="4"/>
      <c r="R24" s="6">
        <f t="shared" si="0"/>
        <v>8</v>
      </c>
    </row>
    <row r="25" spans="1:18" ht="14.25" customHeight="1" x14ac:dyDescent="0.3">
      <c r="A25" s="4" t="s">
        <v>26</v>
      </c>
      <c r="B25" s="9">
        <v>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>
        <v>4</v>
      </c>
      <c r="P25" s="4">
        <v>4</v>
      </c>
      <c r="Q25" s="4"/>
      <c r="R25" s="6">
        <f t="shared" si="0"/>
        <v>8</v>
      </c>
    </row>
    <row r="26" spans="1:18" ht="14.25" customHeight="1" x14ac:dyDescent="0.3">
      <c r="A26" s="4" t="s">
        <v>27</v>
      </c>
      <c r="B26" s="9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v>2</v>
      </c>
      <c r="Q26" s="4">
        <v>4</v>
      </c>
      <c r="R26" s="6">
        <f t="shared" si="0"/>
        <v>6</v>
      </c>
    </row>
    <row r="27" spans="1:18" ht="14.25" customHeight="1" x14ac:dyDescent="0.3">
      <c r="A27" s="6"/>
      <c r="B27" s="6"/>
      <c r="C27" s="6">
        <f t="shared" ref="C27:R27" si="1">SUM(C5:C26)</f>
        <v>2</v>
      </c>
      <c r="D27" s="6">
        <f t="shared" si="1"/>
        <v>6</v>
      </c>
      <c r="E27" s="6">
        <f t="shared" si="1"/>
        <v>18</v>
      </c>
      <c r="F27" s="6">
        <f t="shared" si="1"/>
        <v>22</v>
      </c>
      <c r="G27" s="6">
        <f t="shared" si="1"/>
        <v>28</v>
      </c>
      <c r="H27" s="6">
        <f t="shared" si="1"/>
        <v>20</v>
      </c>
      <c r="I27" s="6">
        <f t="shared" si="1"/>
        <v>16</v>
      </c>
      <c r="J27" s="6">
        <f t="shared" si="1"/>
        <v>10</v>
      </c>
      <c r="K27" s="6">
        <f t="shared" si="1"/>
        <v>4</v>
      </c>
      <c r="L27" s="6">
        <f t="shared" si="1"/>
        <v>4</v>
      </c>
      <c r="M27" s="6">
        <f t="shared" si="1"/>
        <v>4</v>
      </c>
      <c r="N27" s="6">
        <f t="shared" si="1"/>
        <v>10</v>
      </c>
      <c r="O27" s="6">
        <f t="shared" si="1"/>
        <v>12</v>
      </c>
      <c r="P27" s="6">
        <f t="shared" si="1"/>
        <v>6</v>
      </c>
      <c r="Q27" s="6">
        <f t="shared" si="1"/>
        <v>4</v>
      </c>
      <c r="R27" s="6">
        <f t="shared" si="1"/>
        <v>166</v>
      </c>
    </row>
    <row r="28" spans="1:18" ht="14.25" customHeight="1" x14ac:dyDescent="0.3">
      <c r="A28" s="6"/>
      <c r="B28" s="10">
        <f>SUM(B5:B27)</f>
        <v>166</v>
      </c>
      <c r="C28" s="10">
        <f>B28</f>
        <v>166</v>
      </c>
      <c r="D28" s="10">
        <f t="shared" ref="D28:Q28" si="2">C28-SUM(C5:C26)</f>
        <v>164</v>
      </c>
      <c r="E28" s="10">
        <f t="shared" si="2"/>
        <v>158</v>
      </c>
      <c r="F28" s="10">
        <f t="shared" si="2"/>
        <v>140</v>
      </c>
      <c r="G28" s="10">
        <f t="shared" si="2"/>
        <v>118</v>
      </c>
      <c r="H28" s="10">
        <f t="shared" si="2"/>
        <v>90</v>
      </c>
      <c r="I28" s="10">
        <f t="shared" si="2"/>
        <v>70</v>
      </c>
      <c r="J28" s="10">
        <f t="shared" si="2"/>
        <v>54</v>
      </c>
      <c r="K28" s="10">
        <f t="shared" si="2"/>
        <v>44</v>
      </c>
      <c r="L28" s="10">
        <f t="shared" si="2"/>
        <v>40</v>
      </c>
      <c r="M28" s="10">
        <f t="shared" si="2"/>
        <v>36</v>
      </c>
      <c r="N28" s="10">
        <f t="shared" si="2"/>
        <v>32</v>
      </c>
      <c r="O28" s="10">
        <f t="shared" si="2"/>
        <v>22</v>
      </c>
      <c r="P28" s="10">
        <f t="shared" si="2"/>
        <v>10</v>
      </c>
      <c r="Q28" s="10">
        <f t="shared" si="2"/>
        <v>4</v>
      </c>
      <c r="R28" s="10"/>
    </row>
    <row r="29" spans="1:18" ht="14.25" customHeight="1" x14ac:dyDescent="0.3">
      <c r="A29" s="11" t="s">
        <v>4</v>
      </c>
      <c r="B29" s="6">
        <f>C28</f>
        <v>166</v>
      </c>
      <c r="C29" s="6">
        <f t="shared" ref="C29:Q29" si="3">B29-C27</f>
        <v>164</v>
      </c>
      <c r="D29" s="6">
        <f t="shared" si="3"/>
        <v>158</v>
      </c>
      <c r="E29" s="6">
        <f t="shared" si="3"/>
        <v>140</v>
      </c>
      <c r="F29" s="6">
        <f t="shared" si="3"/>
        <v>118</v>
      </c>
      <c r="G29" s="6">
        <f t="shared" si="3"/>
        <v>90</v>
      </c>
      <c r="H29" s="6">
        <f t="shared" si="3"/>
        <v>70</v>
      </c>
      <c r="I29" s="6">
        <f t="shared" si="3"/>
        <v>54</v>
      </c>
      <c r="J29" s="6">
        <f t="shared" si="3"/>
        <v>44</v>
      </c>
      <c r="K29" s="6">
        <f t="shared" si="3"/>
        <v>40</v>
      </c>
      <c r="L29" s="6">
        <f t="shared" si="3"/>
        <v>36</v>
      </c>
      <c r="M29" s="6">
        <f t="shared" si="3"/>
        <v>32</v>
      </c>
      <c r="N29" s="6">
        <f t="shared" si="3"/>
        <v>22</v>
      </c>
      <c r="O29" s="6">
        <f t="shared" si="3"/>
        <v>10</v>
      </c>
      <c r="P29" s="6">
        <f t="shared" si="3"/>
        <v>4</v>
      </c>
      <c r="Q29" s="6">
        <f t="shared" si="3"/>
        <v>0</v>
      </c>
      <c r="R29" s="6"/>
    </row>
    <row r="30" spans="1:18" ht="14.25" customHeight="1" x14ac:dyDescent="0.3">
      <c r="A30" s="6"/>
      <c r="B30" s="10">
        <f>SUM(B5:B26)</f>
        <v>166</v>
      </c>
      <c r="C30" s="10">
        <f>SUM(B5:B26)</f>
        <v>166</v>
      </c>
      <c r="D30" s="10">
        <f t="shared" ref="D30:Q30" si="4">C30-(SUM($B$5:$B$26)/20)</f>
        <v>157.69999999999999</v>
      </c>
      <c r="E30" s="10">
        <f t="shared" si="4"/>
        <v>149.39999999999998</v>
      </c>
      <c r="F30" s="10">
        <f t="shared" si="4"/>
        <v>141.09999999999997</v>
      </c>
      <c r="G30" s="10">
        <f t="shared" si="4"/>
        <v>132.79999999999995</v>
      </c>
      <c r="H30" s="10">
        <f t="shared" si="4"/>
        <v>124.49999999999996</v>
      </c>
      <c r="I30" s="10">
        <f t="shared" si="4"/>
        <v>116.19999999999996</v>
      </c>
      <c r="J30" s="10">
        <f t="shared" si="4"/>
        <v>107.89999999999996</v>
      </c>
      <c r="K30" s="10">
        <f t="shared" si="4"/>
        <v>99.599999999999966</v>
      </c>
      <c r="L30" s="10">
        <f t="shared" si="4"/>
        <v>91.299999999999969</v>
      </c>
      <c r="M30" s="10">
        <f t="shared" si="4"/>
        <v>82.999999999999972</v>
      </c>
      <c r="N30" s="10">
        <f t="shared" si="4"/>
        <v>74.699999999999974</v>
      </c>
      <c r="O30" s="10">
        <f t="shared" si="4"/>
        <v>66.399999999999977</v>
      </c>
      <c r="P30" s="10">
        <f t="shared" si="4"/>
        <v>58.09999999999998</v>
      </c>
      <c r="Q30" s="10">
        <f t="shared" si="4"/>
        <v>49.799999999999983</v>
      </c>
      <c r="R30" s="10"/>
    </row>
    <row r="31" spans="1:18" ht="14.25" customHeight="1" x14ac:dyDescent="0.3">
      <c r="A31" s="11" t="s">
        <v>5</v>
      </c>
      <c r="B31" s="6">
        <f>C30</f>
        <v>166</v>
      </c>
      <c r="C31" s="6">
        <f t="shared" ref="C31:Q31" si="5">B31-C27</f>
        <v>164</v>
      </c>
      <c r="D31" s="6">
        <f t="shared" si="5"/>
        <v>158</v>
      </c>
      <c r="E31" s="6">
        <f t="shared" si="5"/>
        <v>140</v>
      </c>
      <c r="F31" s="6">
        <f t="shared" si="5"/>
        <v>118</v>
      </c>
      <c r="G31" s="6">
        <f t="shared" si="5"/>
        <v>90</v>
      </c>
      <c r="H31" s="6">
        <f t="shared" si="5"/>
        <v>70</v>
      </c>
      <c r="I31" s="6">
        <f t="shared" si="5"/>
        <v>54</v>
      </c>
      <c r="J31" s="6">
        <f t="shared" si="5"/>
        <v>44</v>
      </c>
      <c r="K31" s="6">
        <f t="shared" si="5"/>
        <v>40</v>
      </c>
      <c r="L31" s="6">
        <f t="shared" si="5"/>
        <v>36</v>
      </c>
      <c r="M31" s="6">
        <f t="shared" si="5"/>
        <v>32</v>
      </c>
      <c r="N31" s="6">
        <f t="shared" si="5"/>
        <v>22</v>
      </c>
      <c r="O31" s="6">
        <f t="shared" si="5"/>
        <v>10</v>
      </c>
      <c r="P31" s="6">
        <f t="shared" si="5"/>
        <v>4</v>
      </c>
      <c r="Q31" s="6">
        <f t="shared" si="5"/>
        <v>0</v>
      </c>
      <c r="R31" s="6"/>
    </row>
    <row r="32" spans="1:18" ht="14.25" customHeight="1" x14ac:dyDescent="0.3">
      <c r="A32" s="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4.25" customHeight="1" x14ac:dyDescent="0.3">
      <c r="A33" s="2"/>
      <c r="B33" s="12"/>
      <c r="C33" s="2"/>
      <c r="D33" s="2"/>
      <c r="E33" s="2"/>
      <c r="F33" s="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4.25" customHeight="1" x14ac:dyDescent="0.3">
      <c r="A34" s="2"/>
      <c r="B34" s="12"/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4.25" customHeight="1" x14ac:dyDescent="0.3">
      <c r="A35" s="2"/>
      <c r="B35" s="12"/>
      <c r="C35" s="2"/>
      <c r="D35" s="2"/>
      <c r="E35" s="2"/>
      <c r="F35" s="2"/>
      <c r="G35" s="12"/>
      <c r="H35" s="2"/>
      <c r="I35" s="2"/>
    </row>
    <row r="36" spans="1:18" ht="14.25" customHeight="1" x14ac:dyDescent="0.3">
      <c r="A36" s="2"/>
      <c r="B36" s="12"/>
      <c r="C36" s="2"/>
      <c r="D36" s="2"/>
      <c r="E36" s="2"/>
      <c r="F36" s="2"/>
      <c r="G36" s="12"/>
      <c r="H36" s="2"/>
      <c r="I36" s="2"/>
    </row>
    <row r="37" spans="1:18" ht="14.25" customHeight="1" x14ac:dyDescent="0.3">
      <c r="A37" s="2"/>
      <c r="B37" s="12"/>
      <c r="C37" s="2"/>
      <c r="D37" s="2"/>
      <c r="E37" s="2"/>
      <c r="F37" s="2"/>
      <c r="G37" s="12"/>
      <c r="H37" s="2"/>
      <c r="I37" s="2"/>
    </row>
    <row r="38" spans="1:18" ht="14.25" customHeight="1" x14ac:dyDescent="0.3">
      <c r="A38" s="2"/>
      <c r="B38" s="12"/>
      <c r="C38" s="2"/>
      <c r="D38" s="2"/>
      <c r="E38" s="2"/>
      <c r="F38" s="2"/>
      <c r="G38" s="12"/>
      <c r="H38" s="2"/>
      <c r="I38" s="2"/>
    </row>
    <row r="39" spans="1:18" ht="14.25" customHeight="1" x14ac:dyDescent="0.3">
      <c r="A39" s="2"/>
      <c r="B39" s="12"/>
      <c r="C39" s="2"/>
      <c r="D39" s="2"/>
      <c r="E39" s="2"/>
      <c r="F39" s="2"/>
      <c r="G39" s="2"/>
      <c r="H39" s="2"/>
      <c r="I39" s="2"/>
    </row>
    <row r="40" spans="1:18" ht="14.25" customHeight="1" x14ac:dyDescent="0.3">
      <c r="A40" s="2"/>
      <c r="B40" s="12"/>
      <c r="C40" s="2"/>
      <c r="D40" s="2"/>
      <c r="E40" s="2"/>
      <c r="F40" s="2"/>
      <c r="G40" s="2"/>
      <c r="H40" s="2"/>
      <c r="I40" s="2"/>
    </row>
    <row r="41" spans="1:18" ht="14.25" customHeight="1" x14ac:dyDescent="0.3">
      <c r="A41" s="2"/>
      <c r="B41" s="12"/>
      <c r="C41" s="2"/>
      <c r="D41" s="2"/>
      <c r="E41" s="2"/>
      <c r="F41" s="2"/>
      <c r="G41" s="2"/>
      <c r="H41" s="2"/>
      <c r="I41" s="2"/>
    </row>
    <row r="42" spans="1:18" ht="14.25" customHeight="1" x14ac:dyDescent="0.3"/>
    <row r="43" spans="1:18" ht="14.25" customHeight="1" x14ac:dyDescent="0.3"/>
    <row r="44" spans="1:18" ht="14.25" customHeight="1" x14ac:dyDescent="0.3"/>
    <row r="45" spans="1:18" ht="14.25" customHeight="1" x14ac:dyDescent="0.3"/>
    <row r="46" spans="1:18" ht="14.25" customHeight="1" x14ac:dyDescent="0.3"/>
    <row r="47" spans="1:18" ht="14.25" customHeight="1" x14ac:dyDescent="0.3"/>
    <row r="48" spans="1:1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4">
    <mergeCell ref="A3:A4"/>
    <mergeCell ref="B3:B4"/>
    <mergeCell ref="R3:R4"/>
    <mergeCell ref="C3:Q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nah bruh</cp:lastModifiedBy>
  <dcterms:created xsi:type="dcterms:W3CDTF">2018-02-12T12:05:26Z</dcterms:created>
  <dcterms:modified xsi:type="dcterms:W3CDTF">2025-12-10T02:46:57Z</dcterms:modified>
</cp:coreProperties>
</file>